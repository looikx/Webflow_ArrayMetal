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<sst xmlns="http://schemas.openxmlformats.org/spreadsheetml/2006/main" count="105" uniqueCount="45">
  <si>
    <t>APO Cable Ladder</t>
  </si>
  <si>
    <t>Material</t>
  </si>
  <si>
    <t>HDG</t>
  </si>
  <si>
    <t>SIRIM-NEMA VE1-2009.pdf</t>
  </si>
  <si>
    <t>Width</t>
  </si>
  <si>
    <t>Support Spacing</t>
  </si>
  <si>
    <t>Thickness</t>
  </si>
  <si>
    <t>SWL (kg/m)</t>
  </si>
  <si>
    <t>SWL x 1.5 (kg/m)</t>
  </si>
  <si>
    <t>Deflection @ SWL (mm)</t>
  </si>
  <si>
    <t>Destructive Load (kg/m)</t>
  </si>
  <si>
    <t>Load Classification</t>
  </si>
  <si>
    <t>NEMA 20B</t>
  </si>
  <si>
    <t>Cable Ladder</t>
  </si>
  <si>
    <t>Loading Depth (mm)</t>
  </si>
  <si>
    <t>SWL 3m (kg/m)</t>
  </si>
  <si>
    <t>SWL 4.5m (kg/m)</t>
  </si>
  <si>
    <t>SWL 6m (kg/m)</t>
  </si>
  <si>
    <t>Available Lengths (m)</t>
  </si>
  <si>
    <t>Material Thickness (mm)</t>
  </si>
  <si>
    <t>NEMA Load Rating</t>
  </si>
  <si>
    <t>APO100</t>
  </si>
  <si>
    <t>3 and 6</t>
  </si>
  <si>
    <t>1.5 and 2</t>
  </si>
  <si>
    <t>NEMA 20AA</t>
  </si>
  <si>
    <t>APO125</t>
  </si>
  <si>
    <t>NEMA 20A</t>
  </si>
  <si>
    <t>APO150</t>
  </si>
  <si>
    <t>AML Cable Ladder</t>
  </si>
  <si>
    <t>AML100</t>
  </si>
  <si>
    <t>AML125</t>
  </si>
  <si>
    <t>AML150</t>
  </si>
  <si>
    <t>ACD Cable Ladder</t>
  </si>
  <si>
    <t>Tested in accordance to IEC61537</t>
  </si>
  <si>
    <t>2018MA0594-ACD-IEC61537.pdf</t>
  </si>
  <si>
    <t>ACD100</t>
  </si>
  <si>
    <t>Tested to 1.5mm</t>
  </si>
  <si>
    <t>ACD125</t>
  </si>
  <si>
    <t>ACD150</t>
  </si>
  <si>
    <t>ART AMT Cable Tray</t>
  </si>
  <si>
    <t>SWL 1.5m (kg/m)</t>
  </si>
  <si>
    <t>SWL 2m (kg/m)</t>
  </si>
  <si>
    <t>ART50</t>
  </si>
  <si>
    <t>AMT100</t>
  </si>
  <si>
    <t>ASA Aluminium Ladder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</si>
</sst>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1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horizontal="center" readingOrder="0" shrinkToFit="0" wrapText="1"/>
    </xf>
    <xf borderId="0" fillId="0" fontId="2" numFmtId="0" xfId="0" applyAlignment="1" applyFont="1">
      <alignment horizontal="center" readingOrder="0" shrinkToFit="0" wrapText="1"/>
    </xf>
    <xf borderId="0" fillId="0" fontId="2" numFmtId="0" xfId="0" applyAlignment="1" applyFont="1">
      <alignment horizontal="center" shrinkToFit="0" wrapText="1"/>
    </xf>
    <xf borderId="0" fillId="0" fontId="2" numFmtId="1" xfId="0" applyAlignment="1" applyFont="1" applyNumberFormat="1">
      <alignment horizontal="center" shrinkToFit="0" wrapText="1"/>
    </xf>
    <xf borderId="0" fillId="0" fontId="2" numFmtId="0" xfId="0" applyAlignment="1" applyFont="1">
      <alignment shrinkToFit="0" wrapText="1"/>
    </xf>
    <xf borderId="0" fillId="0" fontId="1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228600</xdr:colOff>
      <xdr:row>1</xdr:row>
      <xdr:rowOff>200025</xdr:rowOff>
    </xdr:from>
    <xdr:ext cx="4429125" cy="17811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0C05YzRhhmWBkytbO7qkI67aNbz0Pk1K/view?usp=sharing" TargetMode="External"/><Relationship Id="rId2" Type="http://schemas.openxmlformats.org/officeDocument/2006/relationships/hyperlink" Target="https://drive.google.com/file/d/1i1IsIeV0oZ1j7oAvsB_aRDaK3XmtwxFP/view?usp=sharing" TargetMode="External"/><Relationship Id="rId3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C1" s="2" t="s">
        <v>1</v>
      </c>
      <c r="D1" s="2" t="s">
        <v>2</v>
      </c>
      <c r="E1" s="3" t="s">
        <v>3</v>
      </c>
    </row>
    <row r="3">
      <c r="A3" s="4" t="s">
        <v>4</v>
      </c>
      <c r="B3" s="4" t="s">
        <v>5</v>
      </c>
      <c r="C3" s="4" t="s">
        <v>6</v>
      </c>
      <c r="D3" s="4" t="s">
        <v>7</v>
      </c>
      <c r="E3" s="4" t="s">
        <v>8</v>
      </c>
      <c r="F3" s="4" t="s">
        <v>9</v>
      </c>
      <c r="G3" s="4" t="s">
        <v>10</v>
      </c>
      <c r="H3" s="4" t="s">
        <v>11</v>
      </c>
    </row>
    <row r="4">
      <c r="A4" s="2">
        <v>600.0</v>
      </c>
      <c r="B4" s="2">
        <v>6000.0</v>
      </c>
      <c r="C4" s="2">
        <v>2.0</v>
      </c>
      <c r="D4" s="2">
        <v>135.0</v>
      </c>
      <c r="E4" s="2">
        <v>203.0</v>
      </c>
      <c r="F4" s="2">
        <v>46.0</v>
      </c>
      <c r="G4" s="2">
        <v>204.0</v>
      </c>
      <c r="H4" s="2" t="s">
        <v>12</v>
      </c>
    </row>
    <row r="6">
      <c r="A6" s="4" t="s">
        <v>13</v>
      </c>
      <c r="B6" s="4" t="s">
        <v>14</v>
      </c>
      <c r="C6" s="4" t="s">
        <v>15</v>
      </c>
      <c r="D6" s="4" t="s">
        <v>16</v>
      </c>
      <c r="E6" s="4" t="s">
        <v>17</v>
      </c>
      <c r="F6" s="4" t="s">
        <v>18</v>
      </c>
      <c r="G6" s="5" t="s">
        <v>19</v>
      </c>
      <c r="H6" s="5" t="s">
        <v>20</v>
      </c>
    </row>
    <row r="7">
      <c r="A7" s="6" t="s">
        <v>21</v>
      </c>
      <c r="B7" s="6">
        <v>75.0</v>
      </c>
      <c r="C7" s="7">
        <f t="shared" ref="C7:C9" si="1">E7*(6^2)/(3^2)</f>
        <v>192</v>
      </c>
      <c r="D7" s="8">
        <f t="shared" ref="D7:D8" si="2">E7*(6^2)/(4.5^2)</f>
        <v>85.33333333</v>
      </c>
      <c r="E7" s="6">
        <v>48.0</v>
      </c>
      <c r="F7" s="6" t="s">
        <v>22</v>
      </c>
      <c r="G7" s="6" t="s">
        <v>23</v>
      </c>
      <c r="H7" s="6" t="s">
        <v>24</v>
      </c>
    </row>
    <row r="8">
      <c r="A8" s="6" t="s">
        <v>25</v>
      </c>
      <c r="B8" s="6">
        <v>100.0</v>
      </c>
      <c r="C8" s="7">
        <f t="shared" si="1"/>
        <v>416</v>
      </c>
      <c r="D8" s="8">
        <f t="shared" si="2"/>
        <v>184.8888889</v>
      </c>
      <c r="E8" s="6">
        <v>104.0</v>
      </c>
      <c r="F8" s="6" t="s">
        <v>22</v>
      </c>
      <c r="G8" s="6" t="s">
        <v>23</v>
      </c>
      <c r="H8" s="6" t="s">
        <v>26</v>
      </c>
    </row>
    <row r="9">
      <c r="A9" s="6" t="s">
        <v>27</v>
      </c>
      <c r="B9" s="6">
        <v>125.0</v>
      </c>
      <c r="C9" s="7">
        <f t="shared" si="1"/>
        <v>540</v>
      </c>
      <c r="D9" s="7">
        <f>$E$9*(6^2)/(4.5^2)</f>
        <v>240</v>
      </c>
      <c r="E9" s="6">
        <v>135.0</v>
      </c>
      <c r="F9" s="6" t="s">
        <v>22</v>
      </c>
      <c r="G9" s="6" t="s">
        <v>23</v>
      </c>
      <c r="H9" s="6" t="s">
        <v>12</v>
      </c>
    </row>
    <row r="10">
      <c r="F10" s="7"/>
      <c r="G10" s="7"/>
      <c r="H10" s="7"/>
    </row>
    <row r="11">
      <c r="A11" s="9"/>
      <c r="B11" s="9"/>
      <c r="C11" s="9"/>
      <c r="D11" s="9"/>
      <c r="E11" s="9"/>
      <c r="F11" s="7"/>
      <c r="G11" s="7"/>
      <c r="H11" s="7"/>
    </row>
    <row r="12">
      <c r="A12" s="10" t="s">
        <v>28</v>
      </c>
      <c r="B12" s="9"/>
      <c r="C12" s="2" t="s">
        <v>1</v>
      </c>
      <c r="D12" s="2" t="s">
        <v>2</v>
      </c>
      <c r="E12" s="9"/>
      <c r="F12" s="7"/>
      <c r="G12" s="7"/>
      <c r="H12" s="7"/>
    </row>
    <row r="13">
      <c r="F13" s="7"/>
      <c r="G13" s="7"/>
      <c r="H13" s="7"/>
    </row>
    <row r="14">
      <c r="A14" s="4" t="s">
        <v>13</v>
      </c>
      <c r="B14" s="4" t="s">
        <v>14</v>
      </c>
      <c r="C14" s="4" t="s">
        <v>15</v>
      </c>
      <c r="D14" s="4" t="s">
        <v>16</v>
      </c>
      <c r="E14" s="4" t="s">
        <v>17</v>
      </c>
      <c r="F14" s="4" t="s">
        <v>18</v>
      </c>
      <c r="G14" s="5" t="s">
        <v>19</v>
      </c>
      <c r="H14" s="5" t="s">
        <v>20</v>
      </c>
    </row>
    <row r="15">
      <c r="A15" s="6" t="s">
        <v>29</v>
      </c>
      <c r="B15" s="6">
        <v>75.0</v>
      </c>
      <c r="C15" s="7">
        <f t="shared" ref="C15:C17" si="3">E15*(6^2)/(3^2)</f>
        <v>192</v>
      </c>
      <c r="D15" s="8">
        <f t="shared" ref="D15:D17" si="4">E15*(6^2)/(4.5^2)</f>
        <v>85.33333333</v>
      </c>
      <c r="E15" s="6">
        <v>48.0</v>
      </c>
      <c r="F15" s="6" t="s">
        <v>22</v>
      </c>
      <c r="G15" s="6" t="s">
        <v>23</v>
      </c>
      <c r="H15" s="6" t="s">
        <v>24</v>
      </c>
    </row>
    <row r="16">
      <c r="A16" s="6" t="s">
        <v>30</v>
      </c>
      <c r="B16" s="6">
        <v>100.0</v>
      </c>
      <c r="C16" s="7">
        <f t="shared" si="3"/>
        <v>480</v>
      </c>
      <c r="D16" s="8">
        <f t="shared" si="4"/>
        <v>213.3333333</v>
      </c>
      <c r="E16" s="6">
        <v>120.0</v>
      </c>
      <c r="F16" s="6" t="s">
        <v>22</v>
      </c>
      <c r="G16" s="6" t="s">
        <v>23</v>
      </c>
      <c r="H16" s="6" t="s">
        <v>12</v>
      </c>
    </row>
    <row r="17">
      <c r="A17" s="6" t="s">
        <v>31</v>
      </c>
      <c r="B17" s="6">
        <v>125.0</v>
      </c>
      <c r="C17" s="7">
        <f t="shared" si="3"/>
        <v>468</v>
      </c>
      <c r="D17" s="7">
        <f t="shared" si="4"/>
        <v>208</v>
      </c>
      <c r="E17" s="6">
        <v>117.0</v>
      </c>
      <c r="F17" s="6" t="s">
        <v>22</v>
      </c>
      <c r="G17" s="6" t="s">
        <v>23</v>
      </c>
      <c r="H17" s="6" t="s">
        <v>12</v>
      </c>
    </row>
    <row r="20">
      <c r="A20" s="1" t="s">
        <v>32</v>
      </c>
      <c r="C20" s="2" t="s">
        <v>33</v>
      </c>
      <c r="F20" s="3" t="s">
        <v>34</v>
      </c>
    </row>
    <row r="21">
      <c r="A21" s="2" t="s">
        <v>1</v>
      </c>
      <c r="B21" s="2" t="s">
        <v>2</v>
      </c>
    </row>
    <row r="22">
      <c r="A22" s="4" t="s">
        <v>13</v>
      </c>
      <c r="B22" s="4" t="s">
        <v>14</v>
      </c>
      <c r="C22" s="4" t="s">
        <v>15</v>
      </c>
      <c r="D22" s="4" t="s">
        <v>16</v>
      </c>
      <c r="E22" s="4" t="s">
        <v>17</v>
      </c>
      <c r="F22" s="4" t="s">
        <v>18</v>
      </c>
      <c r="G22" s="5" t="s">
        <v>19</v>
      </c>
      <c r="H22" s="5" t="s">
        <v>20</v>
      </c>
    </row>
    <row r="23">
      <c r="A23" s="6" t="s">
        <v>35</v>
      </c>
      <c r="B23" s="6">
        <v>75.0</v>
      </c>
      <c r="C23" s="7">
        <f t="shared" ref="C23:C25" si="5">E23*(6^2)/(3^2)</f>
        <v>239.2</v>
      </c>
      <c r="D23" s="8">
        <f t="shared" ref="D23:D25" si="6">E23*(6^2)/(4.5^2)</f>
        <v>106.3111111</v>
      </c>
      <c r="E23" s="6">
        <v>59.8</v>
      </c>
      <c r="F23" s="6" t="s">
        <v>22</v>
      </c>
      <c r="G23" s="6" t="s">
        <v>23</v>
      </c>
      <c r="H23" s="6" t="s">
        <v>24</v>
      </c>
      <c r="I23" s="2" t="s">
        <v>36</v>
      </c>
    </row>
    <row r="24">
      <c r="A24" s="6" t="s">
        <v>37</v>
      </c>
      <c r="B24" s="6">
        <v>100.0</v>
      </c>
      <c r="C24" s="7">
        <f t="shared" si="5"/>
        <v>560.4</v>
      </c>
      <c r="D24" s="8">
        <f t="shared" si="6"/>
        <v>249.0666667</v>
      </c>
      <c r="E24" s="6">
        <v>140.1</v>
      </c>
      <c r="F24" s="6" t="s">
        <v>22</v>
      </c>
      <c r="G24" s="6" t="s">
        <v>23</v>
      </c>
      <c r="H24" s="6" t="s">
        <v>12</v>
      </c>
    </row>
    <row r="25">
      <c r="A25" s="6" t="s">
        <v>38</v>
      </c>
      <c r="B25" s="6">
        <v>125.0</v>
      </c>
      <c r="C25" s="7">
        <f t="shared" si="5"/>
        <v>578.8</v>
      </c>
      <c r="D25" s="7">
        <f t="shared" si="6"/>
        <v>257.2444444</v>
      </c>
      <c r="E25" s="6">
        <v>144.7</v>
      </c>
      <c r="F25" s="6" t="s">
        <v>22</v>
      </c>
      <c r="G25" s="6" t="s">
        <v>23</v>
      </c>
      <c r="H25" s="6" t="s">
        <v>12</v>
      </c>
    </row>
    <row r="28">
      <c r="A28" s="1" t="s">
        <v>39</v>
      </c>
      <c r="C28" s="2" t="s">
        <v>1</v>
      </c>
      <c r="D28" s="2" t="s">
        <v>2</v>
      </c>
    </row>
    <row r="30">
      <c r="A30" s="4" t="s">
        <v>13</v>
      </c>
      <c r="B30" s="4" t="s">
        <v>14</v>
      </c>
      <c r="C30" s="4" t="s">
        <v>40</v>
      </c>
      <c r="D30" s="4" t="s">
        <v>41</v>
      </c>
      <c r="E30" s="4" t="s">
        <v>15</v>
      </c>
      <c r="F30" s="4" t="s">
        <v>18</v>
      </c>
      <c r="G30" s="5" t="s">
        <v>19</v>
      </c>
      <c r="H30" s="5" t="s">
        <v>20</v>
      </c>
    </row>
    <row r="31">
      <c r="A31" s="6" t="s">
        <v>42</v>
      </c>
      <c r="B31" s="6">
        <v>50.0</v>
      </c>
      <c r="C31" s="7">
        <f t="shared" ref="C31:C32" si="7">E31*(3^2)/(1.5^2)</f>
        <v>484</v>
      </c>
      <c r="D31" s="8">
        <f t="shared" ref="D31:D32" si="8">E31*(3^2)/(2^2)</f>
        <v>272.25</v>
      </c>
      <c r="E31" s="6">
        <v>121.0</v>
      </c>
      <c r="F31" s="6" t="s">
        <v>22</v>
      </c>
      <c r="G31" s="6" t="s">
        <v>23</v>
      </c>
      <c r="H31" s="6" t="s">
        <v>24</v>
      </c>
    </row>
    <row r="32">
      <c r="A32" s="6" t="s">
        <v>43</v>
      </c>
      <c r="B32" s="6">
        <v>100.0</v>
      </c>
      <c r="C32" s="7">
        <f t="shared" si="7"/>
        <v>716</v>
      </c>
      <c r="D32" s="8">
        <f t="shared" si="8"/>
        <v>402.75</v>
      </c>
      <c r="E32" s="6">
        <v>179.0</v>
      </c>
      <c r="F32" s="6" t="s">
        <v>22</v>
      </c>
      <c r="G32" s="6" t="s">
        <v>23</v>
      </c>
      <c r="H32" s="6" t="s">
        <v>12</v>
      </c>
    </row>
    <row r="33">
      <c r="A33" s="6"/>
      <c r="B33" s="6"/>
      <c r="C33" s="7"/>
      <c r="D33" s="7"/>
      <c r="E33" s="6"/>
      <c r="F33" s="6" t="s">
        <v>22</v>
      </c>
      <c r="G33" s="6" t="s">
        <v>23</v>
      </c>
      <c r="H33" s="6" t="s">
        <v>12</v>
      </c>
    </row>
    <row r="36">
      <c r="A36" s="2" t="s">
        <v>44</v>
      </c>
    </row>
  </sheetData>
  <hyperlinks>
    <hyperlink r:id="rId1" ref="E1"/>
    <hyperlink r:id="rId2" ref="F20"/>
  </hyperlinks>
  <drawing r:id="rId3"/>
</worksheet>
</file>